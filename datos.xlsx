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FAUSTO\Desktop\"/>
    </mc:Choice>
  </mc:AlternateContent>
  <xr:revisionPtr revIDLastSave="0" documentId="8_{B100F900-5006-4348-9168-EBE01C6EFD75}" xr6:coauthVersionLast="47" xr6:coauthVersionMax="47" xr10:uidLastSave="{00000000-0000-0000-0000-000000000000}"/>
  <bookViews>
    <workbookView xWindow="-120" yWindow="-120" windowWidth="20730" windowHeight="11040" firstSheet="8" activeTab="10" xr2:uid="{00000000-000D-0000-FFFF-FFFF00000000}"/>
  </bookViews>
  <sheets>
    <sheet name="GO Ordenamiento" sheetId="1" r:id="rId1"/>
    <sheet name="GO Venta" sheetId="2" r:id="rId2"/>
    <sheet name="GO Espacio Prestaciones" sheetId="3" r:id="rId3"/>
    <sheet name="Relevamiento Areas Gastronomica" sheetId="4" r:id="rId4"/>
    <sheet name="Relevamientos" sheetId="5" r:id="rId5"/>
    <sheet name="Deck Power BI" sheetId="6" r:id="rId6"/>
    <sheet name="Secuestros Decomisos" sheetId="7" r:id="rId7"/>
    <sheet name="GO Espacio Comunas" sheetId="8" r:id="rId8"/>
    <sheet name="Grandes Operativos" sheetId="9" r:id="rId9"/>
    <sheet name="GO Logistica Desalojos" sheetId="10" r:id="rId10"/>
    <sheet name="GO Logistica Cableado" sheetId="11" r:id="rId11"/>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6" i="4" l="1"/>
  <c r="E15" i="4"/>
  <c r="E14" i="4"/>
  <c r="E13" i="4"/>
  <c r="E12" i="4"/>
  <c r="E11" i="4"/>
  <c r="E10" i="4"/>
  <c r="E9" i="4"/>
  <c r="E8" i="4"/>
  <c r="E7" i="4"/>
  <c r="E6" i="4"/>
  <c r="E5" i="4"/>
  <c r="E4" i="4"/>
  <c r="E3" i="4"/>
  <c r="E2" i="4"/>
</calcChain>
</file>

<file path=xl/sharedStrings.xml><?xml version="1.0" encoding="utf-8"?>
<sst xmlns="http://schemas.openxmlformats.org/spreadsheetml/2006/main" count="316" uniqueCount="124">
  <si>
    <t>Mes</t>
  </si>
  <si>
    <t>SLA Acordado</t>
  </si>
  <si>
    <t>Prestacion</t>
  </si>
  <si>
    <t>Ingresado</t>
  </si>
  <si>
    <t>Verificado/Resuelto</t>
  </si>
  <si>
    <t>SLA OK</t>
  </si>
  <si>
    <t>SLA NO OK</t>
  </si>
  <si>
    <t>SLA BA Colaborativa</t>
  </si>
  <si>
    <t>2026-07</t>
  </si>
  <si>
    <t>Buzon</t>
  </si>
  <si>
    <t>Cableado</t>
  </si>
  <si>
    <t>Puestos de Diarios</t>
  </si>
  <si>
    <t>Puestos de Flores</t>
  </si>
  <si>
    <t>Estructura publicitaria</t>
  </si>
  <si>
    <t>Garitas</t>
  </si>
  <si>
    <t>Bicicleteros</t>
  </si>
  <si>
    <t>Anclajes</t>
  </si>
  <si>
    <t>Local Comercial</t>
  </si>
  <si>
    <t>Venta ambulante / manteros</t>
  </si>
  <si>
    <t>Comuna</t>
  </si>
  <si>
    <t>Ingresados</t>
  </si>
  <si>
    <t>Verificados</t>
  </si>
  <si>
    <t>Cobertura</t>
  </si>
  <si>
    <t>Comuna 1</t>
  </si>
  <si>
    <t>Comuna 2</t>
  </si>
  <si>
    <t>Comuna 3</t>
  </si>
  <si>
    <t>Comuna 4</t>
  </si>
  <si>
    <t>Comuna 5</t>
  </si>
  <si>
    <t>Comuna 6</t>
  </si>
  <si>
    <t>Comuna 7</t>
  </si>
  <si>
    <t>Comuna 8</t>
  </si>
  <si>
    <t>Comuna 9</t>
  </si>
  <si>
    <t>Comuna 10</t>
  </si>
  <si>
    <t>Comuna 11</t>
  </si>
  <si>
    <t>Comuna 12</t>
  </si>
  <si>
    <t>Comuna 13</t>
  </si>
  <si>
    <t>Comuna 14</t>
  </si>
  <si>
    <t>Comuna 15</t>
  </si>
  <si>
    <t>Relevamiento</t>
  </si>
  <si>
    <t>Avance %</t>
  </si>
  <si>
    <t>Indicador</t>
  </si>
  <si>
    <t>Valor</t>
  </si>
  <si>
    <t>Secuestros</t>
  </si>
  <si>
    <t>Decomisos %</t>
  </si>
  <si>
    <t>Positivos</t>
  </si>
  <si>
    <t>Negativos</t>
  </si>
  <si>
    <t>Grupo</t>
  </si>
  <si>
    <t>Resto de CABA</t>
  </si>
  <si>
    <t>Fecha</t>
  </si>
  <si>
    <t>Operativo</t>
  </si>
  <si>
    <t>Participantes</t>
  </si>
  <si>
    <t>Secuestrado</t>
  </si>
  <si>
    <t>Cantidad Secuestros</t>
  </si>
  <si>
    <t>Lugar</t>
  </si>
  <si>
    <t>Recursos</t>
  </si>
  <si>
    <t>Planificado</t>
  </si>
  <si>
    <t>2026-06</t>
  </si>
  <si>
    <t>Areas gastronómicas (decks + mesas y sillas)</t>
  </si>
  <si>
    <t>NO SE PLANIFICÓ</t>
  </si>
  <si>
    <t>Corredor Norte</t>
  </si>
  <si>
    <t>Barrio 31</t>
  </si>
  <si>
    <t>GOVNA, GOIEP, GO Ord</t>
  </si>
  <si>
    <t>Se retiran 10 carros, 1355 productos a la venta y se realiza un ordenamiento en general de la zona</t>
  </si>
  <si>
    <t>10 carros ; 1355 productos</t>
  </si>
  <si>
    <t>GOIEP, Policia</t>
  </si>
  <si>
    <t>Se retiran 2 ranchada,s se desplazan 3 personas en situación de calle. Se colecta unos cartones, cajas de carton, un colchon inflable, tres colchones, almohadones, almohadas, zapatillas, lonas, cortinas,sábanas, metales, cables de cobre, una silla, una mesa de madera, cajas de madera,chapas, 7 carros, fierros,gran cantidad de basuras varias.</t>
  </si>
  <si>
    <t>2 ranchadas ; colchón inflable ; 3 colchones ; 1 silla ; 1 mesa ; 7 carros ; (+ropa, almohadones, carton, metal, lonas, cortinas, sabanas, etc).</t>
  </si>
  <si>
    <t>1 11 14</t>
  </si>
  <si>
    <t>GOIEP, GO Ord, GOVNA, Policia</t>
  </si>
  <si>
    <t>Se retiran 17 colchones, 1 bolsón, mantas, cartones, ropa, juguetes, sillas y nylons. Se desplazan 8 personas.</t>
  </si>
  <si>
    <t>17 colchones ; 1 bolsón ; mantas ; cartones ; ropa ; juguetes ; sillas ; basura</t>
  </si>
  <si>
    <t>GOIEP, GOPYG, GOVNA, GO Ord, Policia</t>
  </si>
  <si>
    <t>Se retira un container utilizado como depósito, 2 construcciones de material clandestinas, 7 carros, 7 auutos en estado de abandono, una casilla donde vivía gente y basura en general</t>
  </si>
  <si>
    <t>1 container ; 2 construcciones ; 7 carros ; 7 autos ; 1 casilla vivienda ; basura</t>
  </si>
  <si>
    <t>21-24 Zavaleta</t>
  </si>
  <si>
    <t>GOIEP, Policia, Ente</t>
  </si>
  <si>
    <t>Se retiran 3 bolsones, se desarma una estructura de ranchada, Se levantan cartones, maderas, metales. sillones, mantas y baldes. Se desplazan 8 personas.</t>
  </si>
  <si>
    <t>3 bolsones ; 1 ranchada ; cartones ; maderas ; metales ; sillones ; mantas ; baldes.</t>
  </si>
  <si>
    <t>GOVNA, GO Ord, GOIEP, Tránsito, Ente, Policia</t>
  </si>
  <si>
    <t>Se retiran parrillas, mesas, carro, indumentaria y artículos varios. Además, se desplazan 4 personas y se levantan 4 colchones y basura en general</t>
  </si>
  <si>
    <t>4 ranchadas ; 358 artículos ; 1 parrilla ; 1 carro ; mesas ; basura</t>
  </si>
  <si>
    <t>GOIEP, GO Ord, GOVNA, Policia, Ente</t>
  </si>
  <si>
    <t>Se retiran 5 parrillas, 1 puesto de comida anclado en el piso, 1 foodtruck, palets, mantas, reposeras, chapas, escobas, sillas, muebles, 1 bicicleta, ropa, ruedas, lonas, elementos de nylon y metal y residuos varios. Se desplazan 16 personas, se levantan 12 ranchadas, 12 colchones, 6 carros y 1 bolsón. Se secuestran elementos de vendedor de chipa, mercadería por ocupación de 1 verdulería y 1 bazar</t>
  </si>
  <si>
    <t>5 parrillas ; 12 ranchadas ; 12 colchones ; 6 carros ; 1 bolsón ; 1 foodtruck ; 1 puesto ; 1 bicicleta ; ropa/telas ; palets ; sillas ; basura</t>
  </si>
  <si>
    <t>Barrio 20</t>
  </si>
  <si>
    <t>Se levanta 1 ranchada grande, tablas de madera, muebles, metales, baldes, latas, sillas, caños de luz, botellas, y basura. Se identifica y requisa a 10 adultos.</t>
  </si>
  <si>
    <t>1 ranchada ; muebles ; maderas y metales ; basura</t>
  </si>
  <si>
    <t>GOIEP, GO Ord, GOVNA, UPE, Policia, Tránsito</t>
  </si>
  <si>
    <t>Se levantan ranchadas, 12 carros, parrillas, estructuras metálicas, muebles y estructuras de electrodomésticos, además de lonas y basura. Se realiza el remolque de un automóvil y una moto. Se interviene en Sara Beatriz por venta no autorizada.</t>
  </si>
  <si>
    <t>12 carros ; ranchada ; parrillas ; estrucutras metálicas ; automóvil ; moto ; telas ; basura</t>
  </si>
  <si>
    <t>La Carbonilla</t>
  </si>
  <si>
    <t>Se retira un food truck, un puesto de diarios en desuso, estructuras utilizadas como cocheras, elementos para reservar lugar, estructuras metálicas y una gran cantidad de bolsones de materiales. Se utilizaron 5 hidrogruas y 1 camion de basura</t>
  </si>
  <si>
    <t>1 food truck ; 1 puesto diarios ; bolsones ; estructuras metálicas.</t>
  </si>
  <si>
    <t>TRAFUL 3702 - 3706 / / ALBERTO EINSTEIN 503 - 507 - 509</t>
  </si>
  <si>
    <t>8 - OPERARIO / 1 - CAMIONETA USO GENERAL / 1 - CAMIONETA USO GENERAL / 1 - HIDROGRUA 25tn C / HERRAMIENTAS / 1 - CAMION SEMI</t>
  </si>
  <si>
    <t>URIARTE 2440</t>
  </si>
  <si>
    <t>8 - OPERARIO / 1 - CAMIONETA USO GENERAL / 1 - CAMIONETA USO GENERAL / 1 - CAMION SEMI</t>
  </si>
  <si>
    <t>OLAVARRIA 351</t>
  </si>
  <si>
    <t>8 - OPERARIO / 1 - CAMIONETA USO GENERAL / 1 - CAMIONETA USO GENERAL / 1 - HIDROGRUA 25tn C / HERRAMIENTAS / 1 - HIDROGRUA 25tn C / HERRAMIENTAS / 1 - CAMION SEMI</t>
  </si>
  <si>
    <t>LONDRES 4255</t>
  </si>
  <si>
    <t>TERRERO 127 (JUDICIAL)</t>
  </si>
  <si>
    <t>NICETO VEGA 5404 (JUDICIAL)</t>
  </si>
  <si>
    <t>8 - OPERARIO / 1 - HIDROGRUA 25tn C / HERRAMIENTAS / 1 - MINICARGADORA (BODCAT) / 1 - CAMIONETA USO GENERAL / 1 - CAMIONETA USO GENERAL / 1 - CAMION SEMI</t>
  </si>
  <si>
    <t>CARLOS MELO 535 - 539</t>
  </si>
  <si>
    <t>8 - OPERARIO / 1 - HIDROGRUA 25tn C / HERRAMIENTAS / 1 - CAMIONETA USO GENERAL / 1 - CAMIONETA USO GENERAL / 1 - CAMION SEMI</t>
  </si>
  <si>
    <t>VIRREY LORETO 3416</t>
  </si>
  <si>
    <t>3 - OPERARIO / 1 - CAMIONETA USO GENERAL / 1 - HIDROGRUA 25tn C / HERRAMIENTAS</t>
  </si>
  <si>
    <t>ALBERTI 565 - 567 - 569 - 571</t>
  </si>
  <si>
    <t>8 - OPERARIO / 1 - CAMIONETA USO GENERAL / 1 - CAMIONETA USO GENERAL / 1 - CAMION SEMI / 1 - CAMION SEMI / 1 - CAMION SEMI / 1 - CAMION SEMI</t>
  </si>
  <si>
    <t>CESAR DIAZ 2979 (JUDICIAL)</t>
  </si>
  <si>
    <t>NEPPER 1088</t>
  </si>
  <si>
    <t>LAUTARO 1607</t>
  </si>
  <si>
    <t>6 - OPERARIO / 4 - OPERARIO / 4 - OPERARIO / 1 - HIDROGRUA 25tn C / HERRAMIENTAS / 1 - CAMIONETA USO GENERAL / 1 - CAMIONETA USO GENERAL / 1 - CAMIONETA USO GENERAL / 1 - CAMION SEMI / 1 - CAMION SEMI</t>
  </si>
  <si>
    <t>ATUEL 255</t>
  </si>
  <si>
    <t>10 - OPERARIO / 1 - CAMIONETA USO GENERAL / 1 - CAMIONETA USO GENERAL / 1 - HIDROGRUA 25tn C / HERRAMIENTAS / 1 - HIDROGRUA 25tn C / HERRAMIENTAS / 1 - CAMION SEMI / 1 - CAMION SEMI</t>
  </si>
  <si>
    <t>PASAJE LA FACULTAD 1873</t>
  </si>
  <si>
    <t>CARLOS CALVO 550</t>
  </si>
  <si>
    <t>10 - OPERARIO / 1 - HIDROGRUA 25tn C / HERRAMIENTAS / 2 - CAMION BATEA / 1 - CAMIONETA USO GENERAL</t>
  </si>
  <si>
    <t>ROCHA Y HERNANDARIAS - MPF</t>
  </si>
  <si>
    <t>MANSILLA 2529</t>
  </si>
  <si>
    <t>SANTOS DUPONT 2790</t>
  </si>
  <si>
    <t>10 - OPERARIO / 1 - CAMIONETA USO GENERAL / 1 - CAMIONETA USO GENERAL / 1 - HIDROGRUA 25tn C / HERRAMIENTAS / 1 - HIDROGRUA 25tn C / HERRAMIENTAS / 1 - HIDROGRUA 25tn C / HERRAMIENTAS / 1 - REMOLQUE TIPO PLANCHA / 1 - CAMION SEMI</t>
  </si>
  <si>
    <t>SALVADOR 4641 - 4643 / AGUERO 370</t>
  </si>
  <si>
    <t>CUENCA 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</si>
</sst>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rlito"/>
    </font>
    <font>
      <b/>
      <sz val="11"/>
      <color rgb="FFFFFFFF"/>
      <name val="Carlito"/>
    </font>
    <font>
      <b/>
      <sz val="11"/>
      <color rgb="FF10293D"/>
      <name val="Carlito"/>
    </font>
    <font>
      <sz val="10"/>
      <color rgb="FF000000"/>
      <name val="Segoe UI"/>
    </font>
  </fonts>
  <fills count="5">
    <fill>
      <patternFill patternType="none"/>
    </fill>
    <fill>
      <patternFill patternType="gray125"/>
    </fill>
    <fill>
      <patternFill patternType="solid">
        <fgColor rgb="FF10293D"/>
      </patternFill>
    </fill>
    <fill>
      <patternFill patternType="solid">
        <fgColor rgb="FFFFFFFF"/>
      </patternFill>
    </fill>
    <fill>
      <patternFill patternType="solid">
        <fgColor rgb="FFE8F7F2"/>
      </patternFill>
    </fill>
  </fills>
  <borders count="4">
    <border>
      <left/>
      <right/>
      <top/>
      <bottom/>
      <diagonal/>
    </border>
    <border>
      <left style="thin">
        <color rgb="FFE1E8EC"/>
      </left>
      <right style="thin">
        <color rgb="FFE1E8EC"/>
      </right>
      <top style="thin">
        <color rgb="FFE1E8EC"/>
      </top>
      <bottom style="thin">
        <color rgb="FFE1E8EC"/>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3">
    <xf numFmtId="0" fontId="0" fillId="0" borderId="0" xfId="0"/>
    <xf numFmtId="0" fontId="1" fillId="2" borderId="0" xfId="0" applyFont="1" applyFill="1" applyAlignment="1">
      <alignment horizontal="center" vertical="center" wrapText="1"/>
    </xf>
    <xf numFmtId="0" fontId="0" fillId="3" borderId="1" xfId="0" applyFill="1" applyBorder="1"/>
    <xf numFmtId="9" fontId="0" fillId="3" borderId="1" xfId="0" applyNumberFormat="1" applyFill="1" applyBorder="1"/>
    <xf numFmtId="9" fontId="2" fillId="4" borderId="1" xfId="0" applyNumberFormat="1" applyFont="1" applyFill="1" applyBorder="1"/>
    <xf numFmtId="14" fontId="0" fillId="3" borderId="1" xfId="0" applyNumberFormat="1" applyFill="1" applyBorder="1"/>
    <xf numFmtId="14" fontId="0" fillId="0" borderId="0" xfId="0" applyNumberFormat="1"/>
    <xf numFmtId="0" fontId="0" fillId="3" borderId="2" xfId="0" applyFill="1" applyBorder="1"/>
    <xf numFmtId="14" fontId="0" fillId="3" borderId="2" xfId="0" applyNumberFormat="1" applyFill="1" applyBorder="1"/>
    <xf numFmtId="14" fontId="0" fillId="0" borderId="2" xfId="0" applyNumberFormat="1" applyBorder="1"/>
    <xf numFmtId="0" fontId="0" fillId="0" borderId="2" xfId="0" applyBorder="1"/>
    <xf numFmtId="0" fontId="3" fillId="0" borderId="2" xfId="0" applyFont="1" applyBorder="1"/>
    <xf numFmtId="0" fontId="3" fillId="0" borderId="3"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1"/>
  <sheetViews>
    <sheetView showGridLines="0" workbookViewId="0">
      <selection activeCell="A2" sqref="A2:H11"/>
    </sheetView>
  </sheetViews>
  <sheetFormatPr baseColWidth="10" defaultColWidth="9" defaultRowHeight="14.25"/>
  <cols>
    <col min="1" max="2" width="14" customWidth="1"/>
    <col min="3" max="3" width="42" customWidth="1"/>
    <col min="4" max="4" width="14" customWidth="1"/>
    <col min="5" max="5" width="20" customWidth="1"/>
    <col min="6" max="6" width="12" customWidth="1"/>
    <col min="7" max="7" width="14" customWidth="1"/>
    <col min="8" max="8" width="22" customWidth="1"/>
  </cols>
  <sheetData>
    <row r="1" spans="1:8" ht="30" customHeight="1">
      <c r="A1" s="1" t="s">
        <v>0</v>
      </c>
      <c r="B1" s="1" t="s">
        <v>1</v>
      </c>
      <c r="C1" s="1" t="s">
        <v>2</v>
      </c>
      <c r="D1" s="1" t="s">
        <v>3</v>
      </c>
      <c r="E1" s="1" t="s">
        <v>4</v>
      </c>
      <c r="F1" s="1" t="s">
        <v>5</v>
      </c>
      <c r="G1" s="1" t="s">
        <v>6</v>
      </c>
      <c r="H1" s="1" t="s">
        <v>7</v>
      </c>
    </row>
    <row r="2" spans="1:8">
      <c r="A2" s="2" t="s">
        <v>56</v>
      </c>
      <c r="B2" s="2">
        <v>20</v>
      </c>
      <c r="C2" s="2" t="s">
        <v>9</v>
      </c>
      <c r="D2" s="2">
        <v>9</v>
      </c>
      <c r="E2" s="2">
        <v>8</v>
      </c>
      <c r="F2" s="2">
        <v>8</v>
      </c>
      <c r="G2" s="2">
        <v>0</v>
      </c>
      <c r="H2" s="3">
        <v>0.66</v>
      </c>
    </row>
    <row r="3" spans="1:8">
      <c r="A3" s="2" t="s">
        <v>56</v>
      </c>
      <c r="B3" s="2">
        <v>20</v>
      </c>
      <c r="C3" s="2" t="s">
        <v>10</v>
      </c>
      <c r="D3" s="2">
        <v>163</v>
      </c>
      <c r="E3" s="2">
        <v>34</v>
      </c>
      <c r="F3" s="2">
        <v>34</v>
      </c>
      <c r="G3" s="2">
        <v>0</v>
      </c>
      <c r="H3" s="3">
        <v>0.33</v>
      </c>
    </row>
    <row r="4" spans="1:8">
      <c r="A4" s="2" t="s">
        <v>56</v>
      </c>
      <c r="B4" s="2">
        <v>90</v>
      </c>
      <c r="C4" s="2" t="s">
        <v>11</v>
      </c>
      <c r="D4" s="2">
        <v>25</v>
      </c>
      <c r="E4" s="2">
        <v>18</v>
      </c>
      <c r="F4" s="2">
        <v>18</v>
      </c>
      <c r="G4" s="2">
        <v>0</v>
      </c>
      <c r="H4" s="3">
        <v>0.82</v>
      </c>
    </row>
    <row r="5" spans="1:8">
      <c r="A5" s="2" t="s">
        <v>56</v>
      </c>
      <c r="B5" s="2">
        <v>90</v>
      </c>
      <c r="C5" s="2" t="s">
        <v>12</v>
      </c>
      <c r="D5" s="2">
        <v>6</v>
      </c>
      <c r="E5" s="2">
        <v>4</v>
      </c>
      <c r="F5" s="2">
        <v>4</v>
      </c>
      <c r="G5" s="2">
        <v>0</v>
      </c>
      <c r="H5" s="3">
        <v>0.5</v>
      </c>
    </row>
    <row r="6" spans="1:8">
      <c r="A6" s="2" t="s">
        <v>56</v>
      </c>
      <c r="B6" s="2">
        <v>15</v>
      </c>
      <c r="C6" s="2" t="s">
        <v>13</v>
      </c>
      <c r="D6" s="2">
        <v>8</v>
      </c>
      <c r="E6" s="2">
        <v>3</v>
      </c>
      <c r="F6" s="2">
        <v>3</v>
      </c>
      <c r="G6" s="2">
        <v>0</v>
      </c>
      <c r="H6" s="3">
        <v>0.05</v>
      </c>
    </row>
    <row r="7" spans="1:8">
      <c r="A7" s="2" t="s">
        <v>56</v>
      </c>
      <c r="B7" s="2">
        <v>10</v>
      </c>
      <c r="C7" s="2" t="s">
        <v>14</v>
      </c>
      <c r="D7" s="2">
        <v>1</v>
      </c>
      <c r="E7" s="2">
        <v>1</v>
      </c>
      <c r="F7" s="2">
        <v>1</v>
      </c>
      <c r="G7" s="2">
        <v>0</v>
      </c>
      <c r="H7" s="3">
        <v>0</v>
      </c>
    </row>
    <row r="8" spans="1:8">
      <c r="A8" s="2" t="s">
        <v>56</v>
      </c>
      <c r="B8" s="2">
        <v>10</v>
      </c>
      <c r="C8" s="2" t="s">
        <v>15</v>
      </c>
      <c r="D8" s="2">
        <v>2</v>
      </c>
      <c r="E8" s="2">
        <v>1</v>
      </c>
      <c r="F8" s="2">
        <v>1</v>
      </c>
      <c r="G8" s="2">
        <v>0</v>
      </c>
      <c r="H8" s="3">
        <v>0.33</v>
      </c>
    </row>
    <row r="9" spans="1:8">
      <c r="A9" s="2" t="s">
        <v>56</v>
      </c>
      <c r="B9" s="2">
        <v>45</v>
      </c>
      <c r="C9" s="2" t="s">
        <v>57</v>
      </c>
      <c r="D9" s="2">
        <v>101</v>
      </c>
      <c r="E9" s="2">
        <v>42</v>
      </c>
      <c r="F9" s="2">
        <v>42</v>
      </c>
      <c r="G9" s="2">
        <v>0</v>
      </c>
      <c r="H9" s="3">
        <v>0.04</v>
      </c>
    </row>
    <row r="10" spans="1:8">
      <c r="A10" s="2" t="s">
        <v>56</v>
      </c>
      <c r="B10" s="2">
        <v>10</v>
      </c>
      <c r="C10" s="2" t="s">
        <v>16</v>
      </c>
      <c r="D10" s="2">
        <v>158</v>
      </c>
      <c r="E10" s="2">
        <v>101</v>
      </c>
      <c r="F10" s="2">
        <v>96</v>
      </c>
      <c r="G10" s="2">
        <v>5</v>
      </c>
      <c r="H10" s="3">
        <v>0.15</v>
      </c>
    </row>
    <row r="11" spans="1:8">
      <c r="A11" s="2" t="s">
        <v>56</v>
      </c>
      <c r="B11" s="2">
        <v>45</v>
      </c>
      <c r="C11" s="2" t="s">
        <v>17</v>
      </c>
      <c r="D11" s="2">
        <v>107</v>
      </c>
      <c r="E11" s="2">
        <v>84</v>
      </c>
      <c r="F11" s="2">
        <v>84</v>
      </c>
      <c r="G11" s="2">
        <v>0</v>
      </c>
      <c r="H11" s="3">
        <v>0.46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
  <sheetViews>
    <sheetView showGridLines="0" workbookViewId="0">
      <selection activeCell="A2" sqref="A2:H2"/>
    </sheetView>
  </sheetViews>
  <sheetFormatPr baseColWidth="10" defaultColWidth="9" defaultRowHeight="14.25"/>
  <cols>
    <col min="1" max="2" width="14" customWidth="1"/>
    <col min="3" max="3" width="42" customWidth="1"/>
    <col min="4" max="4" width="14" customWidth="1"/>
    <col min="5" max="5" width="20" customWidth="1"/>
    <col min="6" max="6" width="12" customWidth="1"/>
    <col min="7" max="7" width="14" customWidth="1"/>
    <col min="8" max="8" width="22" customWidth="1"/>
  </cols>
  <sheetData>
    <row r="1" spans="1:8" ht="30" customHeight="1">
      <c r="A1" s="1" t="s">
        <v>0</v>
      </c>
      <c r="B1" s="1" t="s">
        <v>1</v>
      </c>
      <c r="C1" s="1" t="s">
        <v>2</v>
      </c>
      <c r="D1" s="1" t="s">
        <v>3</v>
      </c>
      <c r="E1" s="1" t="s">
        <v>4</v>
      </c>
      <c r="F1" s="1" t="s">
        <v>5</v>
      </c>
      <c r="G1" s="1" t="s">
        <v>6</v>
      </c>
      <c r="H1" s="1" t="s">
        <v>7</v>
      </c>
    </row>
    <row r="2" spans="1:8">
      <c r="A2" s="2" t="s">
        <v>56</v>
      </c>
      <c r="B2" s="2">
        <v>20</v>
      </c>
      <c r="C2" s="2" t="s">
        <v>18</v>
      </c>
      <c r="D2" s="2">
        <v>51</v>
      </c>
      <c r="E2" s="2">
        <v>50</v>
      </c>
      <c r="F2" s="2">
        <v>50</v>
      </c>
      <c r="G2" s="2">
        <v>0</v>
      </c>
      <c r="H2" s="3">
        <v>0.38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
  <sheetViews>
    <sheetView showGridLines="0" workbookViewId="0"/>
  </sheetViews>
  <sheetFormatPr baseColWidth="10" defaultColWidth="9" defaultRowHeight="14.25"/>
  <cols>
    <col min="1" max="2" width="14" customWidth="1"/>
    <col min="3" max="3" width="42" customWidth="1"/>
    <col min="4" max="4" width="14" customWidth="1"/>
    <col min="5" max="5" width="20" customWidth="1"/>
    <col min="6" max="6" width="12" customWidth="1"/>
    <col min="7" max="7" width="14" customWidth="1"/>
    <col min="8" max="8" width="22" customWidth="1"/>
  </cols>
  <sheetData>
    <row r="1" spans="1:8" ht="30" customHeight="1">
      <c r="A1" s="1" t="s">
        <v>0</v>
      </c>
      <c r="B1" s="1" t="s">
        <v>1</v>
      </c>
      <c r="C1" s="1" t="s">
        <v>2</v>
      </c>
      <c r="D1" s="1" t="s">
        <v>3</v>
      </c>
      <c r="E1" s="1" t="s">
        <v>4</v>
      </c>
      <c r="F1" s="1" t="s">
        <v>5</v>
      </c>
      <c r="G1" s="1" t="s">
        <v>6</v>
      </c>
      <c r="H1" s="1" t="s">
        <v>7</v>
      </c>
    </row>
    <row r="2" spans="1:8">
      <c r="A2" s="2" t="s">
        <v>8</v>
      </c>
      <c r="B2" s="2">
        <v>0</v>
      </c>
      <c r="C2" s="2"/>
      <c r="D2" s="2">
        <v>0</v>
      </c>
      <c r="E2" s="2">
        <v>0</v>
      </c>
      <c r="F2" s="2">
        <v>0</v>
      </c>
      <c r="G2" s="2">
        <v>0</v>
      </c>
      <c r="H2" s="3">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6"/>
  <sheetViews>
    <sheetView showGridLines="0" workbookViewId="0">
      <selection activeCell="A2" sqref="A2:E16"/>
    </sheetView>
  </sheetViews>
  <sheetFormatPr baseColWidth="10" defaultColWidth="9" defaultRowHeight="14.25"/>
  <cols>
    <col min="1" max="1" width="14" customWidth="1"/>
    <col min="2" max="2" width="16" customWidth="1"/>
    <col min="3" max="3" width="14" customWidth="1"/>
    <col min="4" max="4" width="15" customWidth="1"/>
    <col min="5" max="5" width="14" customWidth="1"/>
  </cols>
  <sheetData>
    <row r="1" spans="1:5" ht="30" customHeight="1">
      <c r="A1" s="1" t="s">
        <v>0</v>
      </c>
      <c r="B1" s="1" t="s">
        <v>19</v>
      </c>
      <c r="C1" s="1" t="s">
        <v>20</v>
      </c>
      <c r="D1" s="1" t="s">
        <v>21</v>
      </c>
      <c r="E1" s="1" t="s">
        <v>22</v>
      </c>
    </row>
    <row r="2" spans="1:5" ht="15">
      <c r="A2" s="2" t="s">
        <v>56</v>
      </c>
      <c r="B2" s="2" t="s">
        <v>23</v>
      </c>
      <c r="C2" s="2">
        <v>442</v>
      </c>
      <c r="D2" s="2">
        <v>377</v>
      </c>
      <c r="E2" s="4">
        <f t="shared" ref="E2:E16" si="0">IFERROR(D2/C2,0)</f>
        <v>0.8529411764705882</v>
      </c>
    </row>
    <row r="3" spans="1:5" ht="15">
      <c r="A3" s="2" t="s">
        <v>56</v>
      </c>
      <c r="B3" s="2" t="s">
        <v>24</v>
      </c>
      <c r="C3" s="2">
        <v>312</v>
      </c>
      <c r="D3" s="2">
        <v>311</v>
      </c>
      <c r="E3" s="4">
        <f t="shared" si="0"/>
        <v>0.99679487179487181</v>
      </c>
    </row>
    <row r="4" spans="1:5" ht="15">
      <c r="A4" s="2" t="s">
        <v>56</v>
      </c>
      <c r="B4" s="2" t="s">
        <v>25</v>
      </c>
      <c r="C4" s="2" t="s">
        <v>58</v>
      </c>
      <c r="D4" s="2" t="s">
        <v>58</v>
      </c>
      <c r="E4" s="4">
        <f t="shared" si="0"/>
        <v>0</v>
      </c>
    </row>
    <row r="5" spans="1:5" ht="15">
      <c r="A5" s="2" t="s">
        <v>56</v>
      </c>
      <c r="B5" s="2" t="s">
        <v>26</v>
      </c>
      <c r="C5" s="2" t="s">
        <v>58</v>
      </c>
      <c r="D5" s="2" t="s">
        <v>58</v>
      </c>
      <c r="E5" s="4">
        <f t="shared" si="0"/>
        <v>0</v>
      </c>
    </row>
    <row r="6" spans="1:5" ht="15">
      <c r="A6" s="2" t="s">
        <v>56</v>
      </c>
      <c r="B6" s="2" t="s">
        <v>27</v>
      </c>
      <c r="C6" s="2" t="s">
        <v>58</v>
      </c>
      <c r="D6" s="2" t="s">
        <v>58</v>
      </c>
      <c r="E6" s="4">
        <f t="shared" si="0"/>
        <v>0</v>
      </c>
    </row>
    <row r="7" spans="1:5" ht="15">
      <c r="A7" s="2" t="s">
        <v>56</v>
      </c>
      <c r="B7" s="2" t="s">
        <v>28</v>
      </c>
      <c r="C7" s="2">
        <v>288</v>
      </c>
      <c r="D7" s="2">
        <v>288</v>
      </c>
      <c r="E7" s="4">
        <f t="shared" si="0"/>
        <v>1</v>
      </c>
    </row>
    <row r="8" spans="1:5" ht="15">
      <c r="A8" s="2" t="s">
        <v>56</v>
      </c>
      <c r="B8" s="2" t="s">
        <v>29</v>
      </c>
      <c r="C8" s="2" t="s">
        <v>58</v>
      </c>
      <c r="D8" s="2" t="s">
        <v>58</v>
      </c>
      <c r="E8" s="4">
        <f t="shared" si="0"/>
        <v>0</v>
      </c>
    </row>
    <row r="9" spans="1:5" ht="15">
      <c r="A9" s="2" t="s">
        <v>56</v>
      </c>
      <c r="B9" s="2" t="s">
        <v>30</v>
      </c>
      <c r="C9" s="2" t="s">
        <v>58</v>
      </c>
      <c r="D9" s="2" t="s">
        <v>58</v>
      </c>
      <c r="E9" s="4">
        <f t="shared" si="0"/>
        <v>0</v>
      </c>
    </row>
    <row r="10" spans="1:5" ht="15">
      <c r="A10" s="2" t="s">
        <v>56</v>
      </c>
      <c r="B10" s="2" t="s">
        <v>31</v>
      </c>
      <c r="C10" s="2" t="s">
        <v>58</v>
      </c>
      <c r="D10" s="2" t="s">
        <v>58</v>
      </c>
      <c r="E10" s="4">
        <f t="shared" si="0"/>
        <v>0</v>
      </c>
    </row>
    <row r="11" spans="1:5" ht="15">
      <c r="A11" s="2" t="s">
        <v>56</v>
      </c>
      <c r="B11" s="2" t="s">
        <v>32</v>
      </c>
      <c r="C11" s="2" t="s">
        <v>58</v>
      </c>
      <c r="D11" s="2" t="s">
        <v>58</v>
      </c>
      <c r="E11" s="4">
        <f t="shared" si="0"/>
        <v>0</v>
      </c>
    </row>
    <row r="12" spans="1:5" ht="15">
      <c r="A12" s="2" t="s">
        <v>56</v>
      </c>
      <c r="B12" s="2" t="s">
        <v>33</v>
      </c>
      <c r="C12" s="2" t="s">
        <v>58</v>
      </c>
      <c r="D12" s="2" t="s">
        <v>58</v>
      </c>
      <c r="E12" s="4">
        <f t="shared" si="0"/>
        <v>0</v>
      </c>
    </row>
    <row r="13" spans="1:5" ht="15">
      <c r="A13" s="2" t="s">
        <v>56</v>
      </c>
      <c r="B13" s="2" t="s">
        <v>34</v>
      </c>
      <c r="C13" s="2" t="s">
        <v>58</v>
      </c>
      <c r="D13" s="2" t="s">
        <v>58</v>
      </c>
      <c r="E13" s="4">
        <f t="shared" si="0"/>
        <v>0</v>
      </c>
    </row>
    <row r="14" spans="1:5" ht="15">
      <c r="A14" s="2" t="s">
        <v>56</v>
      </c>
      <c r="B14" s="2" t="s">
        <v>35</v>
      </c>
      <c r="C14" s="2">
        <v>603</v>
      </c>
      <c r="D14" s="2">
        <v>596</v>
      </c>
      <c r="E14" s="4">
        <f t="shared" si="0"/>
        <v>0.988391376451078</v>
      </c>
    </row>
    <row r="15" spans="1:5" ht="15">
      <c r="A15" s="2" t="s">
        <v>56</v>
      </c>
      <c r="B15" s="2" t="s">
        <v>36</v>
      </c>
      <c r="C15" s="2">
        <v>1046</v>
      </c>
      <c r="D15" s="2">
        <v>1046</v>
      </c>
      <c r="E15" s="4">
        <f t="shared" si="0"/>
        <v>1</v>
      </c>
    </row>
    <row r="16" spans="1:5" ht="15">
      <c r="A16" s="2" t="s">
        <v>56</v>
      </c>
      <c r="B16" s="2" t="s">
        <v>37</v>
      </c>
      <c r="C16" s="2">
        <v>460</v>
      </c>
      <c r="D16" s="2">
        <v>455</v>
      </c>
      <c r="E16" s="4">
        <f t="shared" si="0"/>
        <v>0.98913043478260865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2"/>
  <sheetViews>
    <sheetView showGridLines="0" workbookViewId="0">
      <selection activeCell="C16" sqref="C16"/>
    </sheetView>
  </sheetViews>
  <sheetFormatPr baseColWidth="10" defaultColWidth="9" defaultRowHeight="14.25"/>
  <cols>
    <col min="1" max="1" width="14" customWidth="1"/>
    <col min="2" max="2" width="45" customWidth="1"/>
    <col min="3" max="3" width="14" customWidth="1"/>
  </cols>
  <sheetData>
    <row r="1" spans="1:3" ht="30" customHeight="1">
      <c r="A1" s="1" t="s">
        <v>0</v>
      </c>
      <c r="B1" s="1" t="s">
        <v>38</v>
      </c>
      <c r="C1" s="1" t="s">
        <v>39</v>
      </c>
    </row>
    <row r="2" spans="1:3">
      <c r="A2" s="2" t="s">
        <v>8</v>
      </c>
      <c r="B2" s="2"/>
      <c r="C2" s="3">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2"/>
  <sheetViews>
    <sheetView showGridLines="0" workbookViewId="0"/>
  </sheetViews>
  <sheetFormatPr baseColWidth="10" defaultColWidth="9" defaultRowHeight="14.25"/>
  <cols>
    <col min="1" max="1" width="14" customWidth="1"/>
    <col min="2" max="2" width="38" customWidth="1"/>
    <col min="3" max="3" width="22" customWidth="1"/>
  </cols>
  <sheetData>
    <row r="1" spans="1:3" ht="30" customHeight="1">
      <c r="A1" s="1" t="s">
        <v>0</v>
      </c>
      <c r="B1" s="1" t="s">
        <v>40</v>
      </c>
      <c r="C1" s="1" t="s">
        <v>41</v>
      </c>
    </row>
    <row r="2" spans="1:3">
      <c r="A2" s="2" t="s">
        <v>8</v>
      </c>
      <c r="B2" s="2"/>
      <c r="C2"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6"/>
  <sheetViews>
    <sheetView showGridLines="0" workbookViewId="0">
      <selection activeCell="A2" sqref="A2:D16"/>
    </sheetView>
  </sheetViews>
  <sheetFormatPr baseColWidth="10" defaultColWidth="9" defaultRowHeight="14.25"/>
  <cols>
    <col min="1" max="1" width="14" customWidth="1"/>
    <col min="2" max="2" width="16" customWidth="1"/>
    <col min="3" max="3" width="14" customWidth="1"/>
    <col min="4" max="4" width="16" customWidth="1"/>
  </cols>
  <sheetData>
    <row r="1" spans="1:4" ht="30" customHeight="1">
      <c r="A1" s="1" t="s">
        <v>0</v>
      </c>
      <c r="B1" s="1" t="s">
        <v>19</v>
      </c>
      <c r="C1" s="1" t="s">
        <v>42</v>
      </c>
      <c r="D1" s="1" t="s">
        <v>43</v>
      </c>
    </row>
    <row r="2" spans="1:4">
      <c r="A2" s="2" t="s">
        <v>56</v>
      </c>
      <c r="B2" s="2" t="s">
        <v>23</v>
      </c>
      <c r="C2" s="2">
        <v>147</v>
      </c>
      <c r="D2" s="3">
        <v>0.11</v>
      </c>
    </row>
    <row r="3" spans="1:4">
      <c r="A3" s="2" t="s">
        <v>56</v>
      </c>
      <c r="B3" s="2" t="s">
        <v>24</v>
      </c>
      <c r="C3" s="2">
        <v>3</v>
      </c>
      <c r="D3" s="3">
        <v>0.33</v>
      </c>
    </row>
    <row r="4" spans="1:4">
      <c r="A4" s="2" t="s">
        <v>56</v>
      </c>
      <c r="B4" s="2" t="s">
        <v>25</v>
      </c>
      <c r="C4" s="2">
        <v>212</v>
      </c>
      <c r="D4" s="3">
        <v>0.05</v>
      </c>
    </row>
    <row r="5" spans="1:4">
      <c r="A5" s="2" t="s">
        <v>56</v>
      </c>
      <c r="B5" s="2" t="s">
        <v>26</v>
      </c>
      <c r="C5" s="2">
        <v>61</v>
      </c>
      <c r="D5" s="3">
        <v>7.0000000000000007E-2</v>
      </c>
    </row>
    <row r="6" spans="1:4">
      <c r="A6" s="2" t="s">
        <v>56</v>
      </c>
      <c r="B6" s="2" t="s">
        <v>27</v>
      </c>
      <c r="C6" s="2">
        <v>5</v>
      </c>
      <c r="D6" s="3">
        <v>0</v>
      </c>
    </row>
    <row r="7" spans="1:4">
      <c r="A7" s="2" t="s">
        <v>56</v>
      </c>
      <c r="B7" s="2" t="s">
        <v>28</v>
      </c>
      <c r="C7" s="2">
        <v>5</v>
      </c>
      <c r="D7" s="3">
        <v>0.4</v>
      </c>
    </row>
    <row r="8" spans="1:4">
      <c r="A8" s="2" t="s">
        <v>56</v>
      </c>
      <c r="B8" s="2" t="s">
        <v>29</v>
      </c>
      <c r="C8" s="2">
        <v>211</v>
      </c>
      <c r="D8" s="3">
        <v>0.09</v>
      </c>
    </row>
    <row r="9" spans="1:4">
      <c r="A9" s="2" t="s">
        <v>56</v>
      </c>
      <c r="B9" s="2" t="s">
        <v>30</v>
      </c>
      <c r="C9" s="2">
        <v>1</v>
      </c>
      <c r="D9" s="3">
        <v>0</v>
      </c>
    </row>
    <row r="10" spans="1:4">
      <c r="A10" s="2" t="s">
        <v>56</v>
      </c>
      <c r="B10" s="2" t="s">
        <v>31</v>
      </c>
      <c r="C10" s="2">
        <v>77</v>
      </c>
      <c r="D10" s="3">
        <v>0.06</v>
      </c>
    </row>
    <row r="11" spans="1:4">
      <c r="A11" s="2" t="s">
        <v>56</v>
      </c>
      <c r="B11" s="2" t="s">
        <v>32</v>
      </c>
      <c r="C11" s="2">
        <v>78</v>
      </c>
      <c r="D11" s="3">
        <v>0.04</v>
      </c>
    </row>
    <row r="12" spans="1:4">
      <c r="A12" s="2" t="s">
        <v>56</v>
      </c>
      <c r="B12" s="2" t="s">
        <v>33</v>
      </c>
      <c r="C12" s="2">
        <v>0</v>
      </c>
      <c r="D12" s="3">
        <v>0</v>
      </c>
    </row>
    <row r="13" spans="1:4">
      <c r="A13" s="2" t="s">
        <v>56</v>
      </c>
      <c r="B13" s="2" t="s">
        <v>34</v>
      </c>
      <c r="C13" s="2">
        <v>0</v>
      </c>
      <c r="D13" s="3">
        <v>0</v>
      </c>
    </row>
    <row r="14" spans="1:4">
      <c r="A14" s="2" t="s">
        <v>56</v>
      </c>
      <c r="B14" s="2" t="s">
        <v>35</v>
      </c>
      <c r="C14" s="2">
        <v>184</v>
      </c>
      <c r="D14" s="3">
        <v>0.02</v>
      </c>
    </row>
    <row r="15" spans="1:4">
      <c r="A15" s="2" t="s">
        <v>56</v>
      </c>
      <c r="B15" s="2" t="s">
        <v>36</v>
      </c>
      <c r="C15" s="2">
        <v>61</v>
      </c>
      <c r="D15" s="3">
        <v>0.05</v>
      </c>
    </row>
    <row r="16" spans="1:4">
      <c r="A16" s="2" t="s">
        <v>56</v>
      </c>
      <c r="B16" s="2" t="s">
        <v>37</v>
      </c>
      <c r="C16" s="2">
        <v>24</v>
      </c>
      <c r="D16" s="3">
        <v>0.04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6"/>
  <sheetViews>
    <sheetView showGridLines="0" workbookViewId="0">
      <selection activeCell="A2" sqref="A2:E16"/>
    </sheetView>
  </sheetViews>
  <sheetFormatPr baseColWidth="10" defaultColWidth="9" defaultRowHeight="14.25"/>
  <cols>
    <col min="1" max="1" width="14" customWidth="1"/>
    <col min="2" max="2" width="16" customWidth="1"/>
    <col min="3" max="4" width="14" customWidth="1"/>
    <col min="5" max="5" width="22" customWidth="1"/>
  </cols>
  <sheetData>
    <row r="1" spans="1:5" ht="30" customHeight="1">
      <c r="A1" s="1" t="s">
        <v>0</v>
      </c>
      <c r="B1" s="1" t="s">
        <v>19</v>
      </c>
      <c r="C1" s="1" t="s">
        <v>44</v>
      </c>
      <c r="D1" s="1" t="s">
        <v>45</v>
      </c>
      <c r="E1" s="1" t="s">
        <v>46</v>
      </c>
    </row>
    <row r="2" spans="1:5">
      <c r="A2" s="2" t="s">
        <v>56</v>
      </c>
      <c r="B2" s="2" t="s">
        <v>23</v>
      </c>
      <c r="C2" s="2">
        <v>2849</v>
      </c>
      <c r="D2" s="2">
        <v>2346</v>
      </c>
      <c r="E2" s="2" t="s">
        <v>59</v>
      </c>
    </row>
    <row r="3" spans="1:5">
      <c r="A3" s="2" t="s">
        <v>56</v>
      </c>
      <c r="B3" s="2" t="s">
        <v>24</v>
      </c>
      <c r="C3" s="2">
        <v>1043</v>
      </c>
      <c r="D3" s="2">
        <v>569</v>
      </c>
      <c r="E3" s="2" t="s">
        <v>59</v>
      </c>
    </row>
    <row r="4" spans="1:5">
      <c r="A4" s="2" t="s">
        <v>56</v>
      </c>
      <c r="B4" s="2" t="s">
        <v>25</v>
      </c>
      <c r="C4" s="2">
        <v>136</v>
      </c>
      <c r="D4" s="2">
        <v>120</v>
      </c>
      <c r="E4" s="2" t="s">
        <v>47</v>
      </c>
    </row>
    <row r="5" spans="1:5">
      <c r="A5" s="2" t="s">
        <v>56</v>
      </c>
      <c r="B5" s="2" t="s">
        <v>26</v>
      </c>
      <c r="C5" s="2">
        <v>141</v>
      </c>
      <c r="D5" s="2">
        <v>42</v>
      </c>
      <c r="E5" s="2" t="s">
        <v>47</v>
      </c>
    </row>
    <row r="6" spans="1:5">
      <c r="A6" s="2" t="s">
        <v>56</v>
      </c>
      <c r="B6" s="2" t="s">
        <v>27</v>
      </c>
      <c r="C6" s="2">
        <v>116</v>
      </c>
      <c r="D6" s="2">
        <v>41</v>
      </c>
      <c r="E6" s="2" t="s">
        <v>47</v>
      </c>
    </row>
    <row r="7" spans="1:5">
      <c r="A7" s="2" t="s">
        <v>56</v>
      </c>
      <c r="B7" s="2" t="s">
        <v>28</v>
      </c>
      <c r="C7" s="2">
        <v>24</v>
      </c>
      <c r="D7" s="2">
        <v>55</v>
      </c>
      <c r="E7" s="2" t="s">
        <v>47</v>
      </c>
    </row>
    <row r="8" spans="1:5">
      <c r="A8" s="2" t="s">
        <v>56</v>
      </c>
      <c r="B8" s="2" t="s">
        <v>29</v>
      </c>
      <c r="C8" s="2">
        <v>36</v>
      </c>
      <c r="D8" s="2">
        <v>29</v>
      </c>
      <c r="E8" s="2" t="s">
        <v>47</v>
      </c>
    </row>
    <row r="9" spans="1:5">
      <c r="A9" s="2" t="s">
        <v>56</v>
      </c>
      <c r="B9" s="2" t="s">
        <v>30</v>
      </c>
      <c r="C9" s="2">
        <v>55</v>
      </c>
      <c r="D9" s="2">
        <v>9</v>
      </c>
      <c r="E9" s="2" t="s">
        <v>47</v>
      </c>
    </row>
    <row r="10" spans="1:5">
      <c r="A10" s="2" t="s">
        <v>56</v>
      </c>
      <c r="B10" s="2" t="s">
        <v>31</v>
      </c>
      <c r="C10" s="2">
        <v>15</v>
      </c>
      <c r="D10" s="2">
        <v>25</v>
      </c>
      <c r="E10" s="2" t="s">
        <v>47</v>
      </c>
    </row>
    <row r="11" spans="1:5">
      <c r="A11" s="2" t="s">
        <v>56</v>
      </c>
      <c r="B11" s="2" t="s">
        <v>32</v>
      </c>
      <c r="C11" s="2">
        <v>16</v>
      </c>
      <c r="D11" s="2">
        <v>9</v>
      </c>
      <c r="E11" s="2" t="s">
        <v>47</v>
      </c>
    </row>
    <row r="12" spans="1:5">
      <c r="A12" s="2" t="s">
        <v>56</v>
      </c>
      <c r="B12" s="2" t="s">
        <v>33</v>
      </c>
      <c r="C12" s="2">
        <v>14</v>
      </c>
      <c r="D12" s="2">
        <v>41</v>
      </c>
      <c r="E12" s="2" t="s">
        <v>47</v>
      </c>
    </row>
    <row r="13" spans="1:5">
      <c r="A13" s="2" t="s">
        <v>56</v>
      </c>
      <c r="B13" s="2" t="s">
        <v>34</v>
      </c>
      <c r="C13" s="2">
        <v>80</v>
      </c>
      <c r="D13" s="2">
        <v>53</v>
      </c>
      <c r="E13" s="2" t="s">
        <v>47</v>
      </c>
    </row>
    <row r="14" spans="1:5">
      <c r="A14" s="2" t="s">
        <v>56</v>
      </c>
      <c r="B14" s="2" t="s">
        <v>35</v>
      </c>
      <c r="C14" s="2">
        <v>844</v>
      </c>
      <c r="D14" s="2">
        <v>562</v>
      </c>
      <c r="E14" s="2" t="s">
        <v>59</v>
      </c>
    </row>
    <row r="15" spans="1:5">
      <c r="A15" s="2" t="s">
        <v>56</v>
      </c>
      <c r="B15" s="2" t="s">
        <v>36</v>
      </c>
      <c r="C15" s="2">
        <v>1238</v>
      </c>
      <c r="D15" s="2">
        <v>923</v>
      </c>
      <c r="E15" s="2" t="s">
        <v>59</v>
      </c>
    </row>
    <row r="16" spans="1:5">
      <c r="A16" s="2" t="s">
        <v>56</v>
      </c>
      <c r="B16" s="2" t="s">
        <v>37</v>
      </c>
      <c r="C16" s="2">
        <v>119</v>
      </c>
      <c r="D16" s="2">
        <v>88</v>
      </c>
      <c r="E16" s="2" t="s">
        <v>47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1"/>
  <sheetViews>
    <sheetView showGridLines="0" workbookViewId="0">
      <selection activeCell="A2" sqref="A2:F11"/>
    </sheetView>
  </sheetViews>
  <sheetFormatPr baseColWidth="10" defaultColWidth="9" defaultRowHeight="14.25"/>
  <cols>
    <col min="1" max="1" width="14" customWidth="1"/>
    <col min="2" max="2" width="15" customWidth="1"/>
    <col min="3" max="3" width="35" customWidth="1"/>
    <col min="4" max="4" width="18" customWidth="1"/>
    <col min="5" max="5" width="32" customWidth="1"/>
    <col min="6" max="6" width="22" customWidth="1"/>
  </cols>
  <sheetData>
    <row r="1" spans="1:6" ht="30" customHeight="1">
      <c r="A1" s="1" t="s">
        <v>0</v>
      </c>
      <c r="B1" s="1" t="s">
        <v>48</v>
      </c>
      <c r="C1" s="1" t="s">
        <v>49</v>
      </c>
      <c r="D1" s="1" t="s">
        <v>50</v>
      </c>
      <c r="E1" s="1" t="s">
        <v>51</v>
      </c>
      <c r="F1" s="1" t="s">
        <v>52</v>
      </c>
    </row>
    <row r="2" spans="1:6">
      <c r="A2" s="2" t="s">
        <v>56</v>
      </c>
      <c r="B2" s="5">
        <v>46176</v>
      </c>
      <c r="C2" s="2" t="s">
        <v>60</v>
      </c>
      <c r="D2" s="2" t="s">
        <v>61</v>
      </c>
      <c r="E2" s="2" t="s">
        <v>62</v>
      </c>
      <c r="F2" s="2" t="s">
        <v>63</v>
      </c>
    </row>
    <row r="3" spans="1:6">
      <c r="A3" s="2" t="s">
        <v>56</v>
      </c>
      <c r="B3" s="6">
        <v>46177</v>
      </c>
      <c r="C3" t="s">
        <v>60</v>
      </c>
      <c r="D3" t="s">
        <v>64</v>
      </c>
      <c r="E3" t="s">
        <v>65</v>
      </c>
      <c r="F3" t="s">
        <v>66</v>
      </c>
    </row>
    <row r="4" spans="1:6">
      <c r="A4" s="2" t="s">
        <v>56</v>
      </c>
      <c r="B4" s="6">
        <v>46182</v>
      </c>
      <c r="C4" t="s">
        <v>67</v>
      </c>
      <c r="D4" t="s">
        <v>68</v>
      </c>
      <c r="E4" t="s">
        <v>69</v>
      </c>
      <c r="F4" t="s">
        <v>70</v>
      </c>
    </row>
    <row r="5" spans="1:6">
      <c r="A5" s="2" t="s">
        <v>56</v>
      </c>
      <c r="B5" s="6">
        <v>46184</v>
      </c>
      <c r="C5" t="s">
        <v>60</v>
      </c>
      <c r="D5" t="s">
        <v>71</v>
      </c>
      <c r="E5" t="s">
        <v>72</v>
      </c>
      <c r="F5" t="s">
        <v>73</v>
      </c>
    </row>
    <row r="6" spans="1:6">
      <c r="A6" s="2" t="s">
        <v>56</v>
      </c>
      <c r="B6" s="6">
        <v>46190</v>
      </c>
      <c r="C6" t="s">
        <v>74</v>
      </c>
      <c r="D6" t="s">
        <v>75</v>
      </c>
      <c r="E6" t="s">
        <v>76</v>
      </c>
      <c r="F6" t="s">
        <v>77</v>
      </c>
    </row>
    <row r="7" spans="1:6">
      <c r="A7" s="2" t="s">
        <v>56</v>
      </c>
      <c r="B7" s="6">
        <v>46191</v>
      </c>
      <c r="C7" t="s">
        <v>60</v>
      </c>
      <c r="D7" t="s">
        <v>78</v>
      </c>
      <c r="E7" t="s">
        <v>79</v>
      </c>
      <c r="F7" t="s">
        <v>80</v>
      </c>
    </row>
    <row r="8" spans="1:6">
      <c r="A8" s="2" t="s">
        <v>56</v>
      </c>
      <c r="B8" s="6">
        <v>46191</v>
      </c>
      <c r="C8" t="s">
        <v>67</v>
      </c>
      <c r="D8" t="s">
        <v>81</v>
      </c>
      <c r="E8" t="s">
        <v>82</v>
      </c>
      <c r="F8" t="s">
        <v>83</v>
      </c>
    </row>
    <row r="9" spans="1:6">
      <c r="A9" s="2" t="s">
        <v>56</v>
      </c>
      <c r="B9" s="6">
        <v>46196</v>
      </c>
      <c r="C9" t="s">
        <v>84</v>
      </c>
      <c r="D9" t="s">
        <v>64</v>
      </c>
      <c r="E9" t="s">
        <v>85</v>
      </c>
      <c r="F9" t="s">
        <v>86</v>
      </c>
    </row>
    <row r="10" spans="1:6">
      <c r="A10" s="2" t="s">
        <v>56</v>
      </c>
      <c r="B10" s="6">
        <v>46197</v>
      </c>
      <c r="C10" t="s">
        <v>60</v>
      </c>
      <c r="D10" t="s">
        <v>87</v>
      </c>
      <c r="E10" t="s">
        <v>88</v>
      </c>
      <c r="F10" t="s">
        <v>89</v>
      </c>
    </row>
    <row r="11" spans="1:6">
      <c r="A11" s="2" t="s">
        <v>56</v>
      </c>
      <c r="B11" s="6">
        <v>46203</v>
      </c>
      <c r="C11" t="s">
        <v>90</v>
      </c>
      <c r="D11" t="s">
        <v>68</v>
      </c>
      <c r="E11" t="s">
        <v>91</v>
      </c>
      <c r="F11" t="s">
        <v>92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21"/>
  <sheetViews>
    <sheetView showGridLines="0" workbookViewId="0">
      <selection activeCell="A2" sqref="A2:D21"/>
    </sheetView>
  </sheetViews>
  <sheetFormatPr baseColWidth="10" defaultColWidth="9" defaultRowHeight="14.25"/>
  <cols>
    <col min="1" max="1" width="14" customWidth="1"/>
    <col min="2" max="2" width="15" customWidth="1"/>
    <col min="3" max="4" width="38" customWidth="1"/>
  </cols>
  <sheetData>
    <row r="1" spans="1:4" ht="30" customHeight="1">
      <c r="A1" s="1" t="s">
        <v>0</v>
      </c>
      <c r="B1" s="1" t="s">
        <v>48</v>
      </c>
      <c r="C1" s="1" t="s">
        <v>53</v>
      </c>
      <c r="D1" s="1" t="s">
        <v>54</v>
      </c>
    </row>
    <row r="2" spans="1:4">
      <c r="A2" s="7" t="s">
        <v>56</v>
      </c>
      <c r="B2" s="8">
        <v>46174</v>
      </c>
      <c r="C2" s="7" t="s">
        <v>93</v>
      </c>
      <c r="D2" s="7" t="s">
        <v>94</v>
      </c>
    </row>
    <row r="3" spans="1:4">
      <c r="A3" s="7" t="s">
        <v>56</v>
      </c>
      <c r="B3" s="9">
        <v>46175</v>
      </c>
      <c r="C3" s="10" t="s">
        <v>95</v>
      </c>
      <c r="D3" s="10" t="s">
        <v>96</v>
      </c>
    </row>
    <row r="4" spans="1:4">
      <c r="A4" s="7" t="s">
        <v>56</v>
      </c>
      <c r="B4" s="9">
        <v>46176</v>
      </c>
      <c r="C4" s="10" t="s">
        <v>97</v>
      </c>
      <c r="D4" s="10" t="s">
        <v>98</v>
      </c>
    </row>
    <row r="5" spans="1:4">
      <c r="A5" s="7" t="s">
        <v>56</v>
      </c>
      <c r="B5" s="9">
        <v>46177</v>
      </c>
      <c r="C5" s="10" t="s">
        <v>99</v>
      </c>
      <c r="D5" s="10" t="s">
        <v>96</v>
      </c>
    </row>
    <row r="6" spans="1:4">
      <c r="A6" s="7" t="s">
        <v>56</v>
      </c>
      <c r="B6" s="9">
        <v>46177</v>
      </c>
      <c r="C6" s="10" t="s">
        <v>100</v>
      </c>
      <c r="D6" s="10" t="s">
        <v>96</v>
      </c>
    </row>
    <row r="7" spans="1:4">
      <c r="A7" s="7" t="s">
        <v>56</v>
      </c>
      <c r="B7" s="9">
        <v>46178</v>
      </c>
      <c r="C7" s="10" t="s">
        <v>101</v>
      </c>
      <c r="D7" s="10" t="s">
        <v>102</v>
      </c>
    </row>
    <row r="8" spans="1:4">
      <c r="A8" s="7" t="s">
        <v>56</v>
      </c>
      <c r="B8" s="9">
        <v>46182</v>
      </c>
      <c r="C8" s="10" t="s">
        <v>103</v>
      </c>
      <c r="D8" s="10" t="s">
        <v>104</v>
      </c>
    </row>
    <row r="9" spans="1:4">
      <c r="A9" s="7" t="s">
        <v>56</v>
      </c>
      <c r="B9" s="9">
        <v>46183</v>
      </c>
      <c r="C9" s="10" t="s">
        <v>105</v>
      </c>
      <c r="D9" s="10" t="s">
        <v>106</v>
      </c>
    </row>
    <row r="10" spans="1:4">
      <c r="A10" s="7" t="s">
        <v>56</v>
      </c>
      <c r="B10" s="9">
        <v>46183</v>
      </c>
      <c r="C10" s="10" t="s">
        <v>107</v>
      </c>
      <c r="D10" s="10" t="s">
        <v>108</v>
      </c>
    </row>
    <row r="11" spans="1:4">
      <c r="A11" s="7" t="s">
        <v>56</v>
      </c>
      <c r="B11" s="9">
        <v>46183</v>
      </c>
      <c r="C11" s="10" t="s">
        <v>109</v>
      </c>
      <c r="D11" s="10" t="s">
        <v>106</v>
      </c>
    </row>
    <row r="12" spans="1:4">
      <c r="A12" s="7" t="s">
        <v>56</v>
      </c>
      <c r="B12" s="9">
        <v>46185</v>
      </c>
      <c r="C12" s="10" t="s">
        <v>110</v>
      </c>
      <c r="D12" s="10" t="s">
        <v>96</v>
      </c>
    </row>
    <row r="13" spans="1:4">
      <c r="A13" s="7" t="s">
        <v>56</v>
      </c>
      <c r="B13" s="9">
        <v>46185</v>
      </c>
      <c r="C13" s="10" t="s">
        <v>111</v>
      </c>
      <c r="D13" s="10" t="s">
        <v>112</v>
      </c>
    </row>
    <row r="14" spans="1:4">
      <c r="A14" s="7" t="s">
        <v>56</v>
      </c>
      <c r="B14" s="9">
        <v>46189</v>
      </c>
      <c r="C14" s="10" t="s">
        <v>113</v>
      </c>
      <c r="D14" s="10" t="s">
        <v>114</v>
      </c>
    </row>
    <row r="15" spans="1:4">
      <c r="A15" s="7" t="s">
        <v>56</v>
      </c>
      <c r="B15" s="9">
        <v>46190</v>
      </c>
      <c r="C15" s="10" t="s">
        <v>115</v>
      </c>
      <c r="D15" s="10" t="s">
        <v>94</v>
      </c>
    </row>
    <row r="16" spans="1:4">
      <c r="A16" s="7" t="s">
        <v>56</v>
      </c>
      <c r="B16" s="9">
        <v>46192</v>
      </c>
      <c r="C16" s="10" t="s">
        <v>116</v>
      </c>
      <c r="D16" s="10" t="s">
        <v>117</v>
      </c>
    </row>
    <row r="17" spans="1:4">
      <c r="A17" s="7" t="s">
        <v>56</v>
      </c>
      <c r="B17" s="9">
        <v>46196</v>
      </c>
      <c r="C17" s="10" t="s">
        <v>118</v>
      </c>
      <c r="D17" s="10" t="s">
        <v>96</v>
      </c>
    </row>
    <row r="18" spans="1:4">
      <c r="A18" s="7" t="s">
        <v>56</v>
      </c>
      <c r="B18" s="9">
        <v>46196</v>
      </c>
      <c r="C18" s="10" t="s">
        <v>119</v>
      </c>
      <c r="D18" s="10" t="s">
        <v>98</v>
      </c>
    </row>
    <row r="19" spans="1:4">
      <c r="A19" s="7" t="s">
        <v>56</v>
      </c>
      <c r="B19" s="9">
        <v>46198</v>
      </c>
      <c r="C19" s="10" t="s">
        <v>120</v>
      </c>
      <c r="D19" s="10" t="s">
        <v>121</v>
      </c>
    </row>
    <row r="20" spans="1:4">
      <c r="A20" s="7" t="s">
        <v>56</v>
      </c>
      <c r="B20" s="9">
        <v>46202</v>
      </c>
      <c r="C20" s="10" t="s">
        <v>122</v>
      </c>
      <c r="D20" s="10" t="s">
        <v>94</v>
      </c>
    </row>
    <row r="21" spans="1:4">
      <c r="A21" s="7" t="s">
        <v>56</v>
      </c>
      <c r="B21" s="9">
        <v>46203</v>
      </c>
      <c r="C21" s="10" t="s">
        <v>123</v>
      </c>
      <c r="D21" s="10" t="s">
        <v>94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2"/>
  <sheetViews>
    <sheetView showGridLines="0" tabSelected="1" workbookViewId="0">
      <selection activeCell="B6" sqref="B6"/>
    </sheetView>
  </sheetViews>
  <sheetFormatPr baseColWidth="10" defaultColWidth="9" defaultRowHeight="14.25"/>
  <cols>
    <col min="1" max="1" width="14" customWidth="1"/>
    <col min="2" max="2" width="16" customWidth="1"/>
    <col min="3" max="3" width="22" customWidth="1"/>
  </cols>
  <sheetData>
    <row r="1" spans="1:3" ht="30" customHeight="1">
      <c r="A1" s="1" t="s">
        <v>0</v>
      </c>
      <c r="B1" s="1" t="s">
        <v>55</v>
      </c>
      <c r="C1" s="1" t="s">
        <v>4</v>
      </c>
    </row>
    <row r="2" spans="1:3" ht="15">
      <c r="A2" s="2" t="s">
        <v>56</v>
      </c>
      <c r="B2" s="11">
        <v>946</v>
      </c>
      <c r="C2" s="12">
        <v>781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11</vt:i4>
      </vt:variant>
    </vt:vector>
  </HeadingPairs>
  <TitlesOfParts>
    <vt:vector size="11" baseType="lpstr">
      <vt:lpstr>GO Ordenamiento</vt:lpstr>
      <vt:lpstr>GO Venta</vt:lpstr>
      <vt:lpstr>GO Espacio Prestaciones</vt:lpstr>
      <vt:lpstr>Relevamiento Areas Gastronomica</vt:lpstr>
      <vt:lpstr>Relevamientos</vt:lpstr>
      <vt:lpstr>Deck Power BI</vt:lpstr>
      <vt:lpstr>Secuestros Decomisos</vt:lpstr>
      <vt:lpstr>GO Espacio Comunas</vt:lpstr>
      <vt:lpstr>Grandes Operativos</vt:lpstr>
      <vt:lpstr>GO Logistica Desalojos</vt:lpstr>
      <vt:lpstr>GO Logistica Cableado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FAUSTO</dc:creator>
  <cp:lastModifiedBy>Fausto Emmanuel Eufemio</cp:lastModifiedBy>
  <dcterms:created xsi:type="dcterms:W3CDTF">2026-07-22T17:10:39Z</dcterms:created>
  <dcterms:modified xsi:type="dcterms:W3CDTF">2026-07-22T17:10:39Z</dcterms:modified>
</cp:coreProperties>
</file>